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6a64e2d9c9c4399a/Documents/Projects/12VAC-Dual-Output-Buck-Power-Supply-PCB/03_kicad_Me/psu_main/final_files/"/>
    </mc:Choice>
  </mc:AlternateContent>
  <xr:revisionPtr revIDLastSave="0" documentId="8_{2573B154-08A9-43E7-885F-0A97F3F7CD79}" xr6:coauthVersionLast="47" xr6:coauthVersionMax="47" xr10:uidLastSave="{00000000-0000-0000-0000-000000000000}"/>
  <bookViews>
    <workbookView xWindow="-108" yWindow="-108" windowWidth="23256" windowHeight="13896" xr2:uid="{D440C907-9646-4F58-A4F5-D95DB9FD374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14" i="1" s="1"/>
  <c r="I18" i="1" s="1"/>
  <c r="I6" i="1"/>
  <c r="I7" i="1"/>
  <c r="I8" i="1"/>
  <c r="I9" i="1"/>
  <c r="I10" i="1"/>
  <c r="I11" i="1"/>
  <c r="I12" i="1"/>
  <c r="I13" i="1"/>
  <c r="I17" i="1"/>
</calcChain>
</file>

<file path=xl/sharedStrings.xml><?xml version="1.0" encoding="utf-8"?>
<sst xmlns="http://schemas.openxmlformats.org/spreadsheetml/2006/main" count="119" uniqueCount="73">
  <si>
    <t>PCBWay Bom Quotation, Product No.:T-1C2W1121237A</t>
  </si>
  <si>
    <t>Item #</t>
  </si>
  <si>
    <r>
      <t>*</t>
    </r>
    <r>
      <rPr>
        <b/>
        <sz val="11"/>
        <rFont val="Calibri"/>
        <family val="2"/>
      </rPr>
      <t>Designator</t>
    </r>
  </si>
  <si>
    <r>
      <t>*</t>
    </r>
    <r>
      <rPr>
        <b/>
        <sz val="11"/>
        <rFont val="Calibri"/>
        <family val="2"/>
      </rPr>
      <t>Qty</t>
    </r>
  </si>
  <si>
    <r>
      <t>*</t>
    </r>
    <r>
      <rPr>
        <b/>
        <sz val="11"/>
        <rFont val="Calibri"/>
        <family val="2"/>
      </rPr>
      <t>Mfg Part #</t>
    </r>
  </si>
  <si>
    <t>Description / Value</t>
  </si>
  <si>
    <t>Vendor Part #</t>
  </si>
  <si>
    <r>
      <t>*</t>
    </r>
    <r>
      <rPr>
        <b/>
        <sz val="11"/>
        <rFont val="Calibri"/>
        <family val="2"/>
      </rPr>
      <t>Package/Footprint</t>
    </r>
  </si>
  <si>
    <r>
      <t>*</t>
    </r>
    <r>
      <rPr>
        <b/>
        <sz val="11"/>
        <rFont val="Calibri"/>
        <family val="2"/>
      </rPr>
      <t>Unit Price(5 units)</t>
    </r>
  </si>
  <si>
    <r>
      <t>*</t>
    </r>
    <r>
      <rPr>
        <b/>
        <sz val="11"/>
        <rFont val="Calibri"/>
        <family val="2"/>
      </rPr>
      <t>Total</t>
    </r>
  </si>
  <si>
    <r>
      <t>*</t>
    </r>
    <r>
      <rPr>
        <b/>
        <sz val="11"/>
        <rFont val="Calibri"/>
        <family val="2"/>
      </rPr>
      <t>Delivery Time</t>
    </r>
  </si>
  <si>
    <r>
      <t>*</t>
    </r>
    <r>
      <rPr>
        <b/>
        <sz val="11"/>
        <rFont val="Calibri"/>
        <family val="2"/>
      </rPr>
      <t>Actual Purchase Mfg Part #</t>
    </r>
  </si>
  <si>
    <t>Customer Reply</t>
  </si>
  <si>
    <t>PCBWay Update</t>
  </si>
  <si>
    <t>C1</t>
  </si>
  <si>
    <t>C1580768</t>
  </si>
  <si>
    <t>1000uF</t>
  </si>
  <si>
    <t>Capacitor_THT:CP_Radial_D10.0mm_P5.00mm</t>
  </si>
  <si>
    <t/>
  </si>
  <si>
    <t>35PK1000MEFC10X20</t>
  </si>
  <si>
    <t>C2,C6</t>
  </si>
  <si>
    <t>C6119957</t>
  </si>
  <si>
    <t>10uF</t>
  </si>
  <si>
    <t>Capacitor_SMD:C_1206_3216Metric</t>
  </si>
  <si>
    <t>CGA1206X5R106K350NT</t>
  </si>
  <si>
    <t>C3,C7</t>
  </si>
  <si>
    <t>C127833</t>
  </si>
  <si>
    <t>100nF</t>
  </si>
  <si>
    <t>Capacitor_SMD:C_0603_1608Metric</t>
  </si>
  <si>
    <t>C0603C104K5RACTU</t>
  </si>
  <si>
    <t>C4,C5,C8,C9</t>
  </si>
  <si>
    <t>C386093</t>
  </si>
  <si>
    <t>22uF</t>
  </si>
  <si>
    <t>TMK316BBJ226ML-T</t>
  </si>
  <si>
    <t>D1,D2,D3,D4</t>
  </si>
  <si>
    <t>C3058</t>
  </si>
  <si>
    <t>1N4004</t>
  </si>
  <si>
    <t>Diode_THT:D_DO-41_SOD81_P10.16mm_Horizontal</t>
  </si>
  <si>
    <t>J1, J2, J3</t>
  </si>
  <si>
    <t>C5188434</t>
  </si>
  <si>
    <t>12VAC IN</t>
  </si>
  <si>
    <t>TerminalBlock:TerminalBlock_MaiXu_MX126-5.0-02P_1x02_P5.00mm</t>
  </si>
  <si>
    <t>MX126-5.0-02P-GN01-Cu-S-A</t>
  </si>
  <si>
    <t>L1</t>
  </si>
  <si>
    <t>C2454435</t>
  </si>
  <si>
    <t>4.7uH</t>
  </si>
  <si>
    <t>7-10 Workdays</t>
  </si>
  <si>
    <t>TYS60284R7N-10</t>
  </si>
  <si>
    <t>L2</t>
  </si>
  <si>
    <t>C7325703</t>
  </si>
  <si>
    <t>3.9uH</t>
  </si>
  <si>
    <t>ASPI-0628-3R9M-T1</t>
  </si>
  <si>
    <t>R1</t>
  </si>
  <si>
    <t>C242483</t>
  </si>
  <si>
    <t>10k</t>
  </si>
  <si>
    <t>Resistor_SMD:R_1206_3216Metric</t>
  </si>
  <si>
    <t>CRCW120610K0FKEA</t>
  </si>
  <si>
    <t>U2</t>
  </si>
  <si>
    <t>C2071056</t>
  </si>
  <si>
    <t>AP63205WU</t>
  </si>
  <si>
    <t>Package_TO_SOT_SMD:TSOT-23-6</t>
  </si>
  <si>
    <t>AP63205WU-7</t>
  </si>
  <si>
    <t>U3</t>
  </si>
  <si>
    <t>C780769</t>
  </si>
  <si>
    <t>AP63203WU</t>
  </si>
  <si>
    <t>AP63203WU-7</t>
  </si>
  <si>
    <t>Component Cost</t>
  </si>
  <si>
    <t>Assembly Cost</t>
  </si>
  <si>
    <t>PCB Cost</t>
  </si>
  <si>
    <t>V0 Member 0% off</t>
  </si>
  <si>
    <t>All Total 5 Units</t>
  </si>
  <si>
    <t>Custom_Footprints:IND_ASPI-0628-3R9M-T1</t>
  </si>
  <si>
    <t>Custom_Footprints:L_6.0x6.0_Pad1.8x5.7_Gap2.6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</si>
</sst>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$0.000"/>
    <numFmt numFmtId="177" formatCode="\$0.00"/>
  </numFmts>
  <fonts count="10">
    <font>
      <sz val="12"/>
      <name val="宋体"/>
      <charset val="134"/>
    </font>
    <font>
      <sz val="12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indexed="10"/>
      <name val="Calibri"/>
      <family val="2"/>
    </font>
    <font>
      <b/>
      <sz val="11"/>
      <color indexed="10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177" fontId="7" fillId="0" borderId="1" xfId="0" applyNumberFormat="1" applyFont="1" applyBorder="1" applyAlignment="1">
      <alignment horizontal="left" vertical="center"/>
    </xf>
    <xf numFmtId="177" fontId="8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68580</xdr:rowOff>
    </xdr:from>
    <xdr:to>
      <xdr:col>2</xdr:col>
      <xdr:colOff>152400</xdr:colOff>
      <xdr:row>0</xdr:row>
      <xdr:rowOff>449580</xdr:rowOff>
    </xdr:to>
    <xdr:pic>
      <xdr:nvPicPr>
        <xdr:cNvPr id="4099" name="图片 1" descr="pcbway-400x400.jpg">
          <a:extLst>
            <a:ext uri="{FF2B5EF4-FFF2-40B4-BE49-F238E27FC236}">
              <a16:creationId xmlns:a16="http://schemas.microsoft.com/office/drawing/2014/main" id="{DF8A10E5-242B-F561-38F0-DD037C6D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68580"/>
          <a:ext cx="13335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006B-E156-4D34-A96E-5C4DCFB96129}">
  <dimension ref="A1:AX560"/>
  <sheetViews>
    <sheetView tabSelected="1" zoomScaleSheetLayoutView="100" workbookViewId="0">
      <selection sqref="A1:M1"/>
    </sheetView>
  </sheetViews>
  <sheetFormatPr defaultColWidth="9" defaultRowHeight="15"/>
  <cols>
    <col min="1" max="1" width="6.19921875" style="2" customWidth="1"/>
    <col min="2" max="2" width="10.19921875" style="2" customWidth="1"/>
    <col min="3" max="3" width="5.3984375" style="2" customWidth="1"/>
    <col min="4" max="4" width="12.09765625" style="2" customWidth="1"/>
    <col min="5" max="5" width="20.09765625" style="2" customWidth="1"/>
    <col min="6" max="6" width="14.09765625" style="2" customWidth="1"/>
    <col min="7" max="7" width="52.796875" style="2" customWidth="1"/>
    <col min="8" max="8" width="18" style="2" customWidth="1"/>
    <col min="9" max="9" width="12" style="2" customWidth="1"/>
    <col min="10" max="10" width="16" style="2" customWidth="1"/>
    <col min="11" max="11" width="26" style="2" customWidth="1"/>
    <col min="12" max="13" width="14" style="2" customWidth="1"/>
    <col min="14" max="14" width="27.8984375" style="2" customWidth="1"/>
    <col min="15" max="15" width="19.69921875" style="2" customWidth="1"/>
    <col min="16" max="16" width="20.59765625" style="2" customWidth="1"/>
    <col min="17" max="16384" width="9" style="2"/>
  </cols>
  <sheetData>
    <row r="1" spans="1:50" s="1" customFormat="1" ht="39.9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3"/>
    </row>
    <row r="2" spans="1:50" ht="25.65" customHeight="1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 t="s">
        <v>12</v>
      </c>
      <c r="M2" s="5" t="s">
        <v>13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>
      <c r="A3" s="7">
        <v>1</v>
      </c>
      <c r="B3" s="7" t="s">
        <v>14</v>
      </c>
      <c r="C3" s="7">
        <v>1</v>
      </c>
      <c r="D3" s="7" t="s">
        <v>15</v>
      </c>
      <c r="E3" s="8" t="s">
        <v>16</v>
      </c>
      <c r="F3" s="7" t="s">
        <v>15</v>
      </c>
      <c r="G3" s="7" t="s">
        <v>17</v>
      </c>
      <c r="H3" s="9">
        <v>1.4450000000000001</v>
      </c>
      <c r="I3" s="9">
        <f t="shared" ref="I3:I13" si="0">C3*H3*5</f>
        <v>7.2250000000000005</v>
      </c>
      <c r="J3" s="7" t="s">
        <v>18</v>
      </c>
      <c r="K3" s="10" t="s">
        <v>19</v>
      </c>
      <c r="L3" s="7" t="s">
        <v>18</v>
      </c>
      <c r="M3" s="7" t="s">
        <v>18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 spans="1:50">
      <c r="A4" s="7">
        <v>2</v>
      </c>
      <c r="B4" s="7" t="s">
        <v>20</v>
      </c>
      <c r="C4" s="7">
        <v>2</v>
      </c>
      <c r="D4" s="7" t="s">
        <v>21</v>
      </c>
      <c r="E4" s="8" t="s">
        <v>22</v>
      </c>
      <c r="F4" s="7" t="s">
        <v>21</v>
      </c>
      <c r="G4" s="7" t="s">
        <v>23</v>
      </c>
      <c r="H4" s="9">
        <v>0.51400000000000001</v>
      </c>
      <c r="I4" s="9">
        <f t="shared" si="0"/>
        <v>5.1400000000000006</v>
      </c>
      <c r="J4" s="7" t="s">
        <v>18</v>
      </c>
      <c r="K4" s="10" t="s">
        <v>24</v>
      </c>
      <c r="L4" s="7" t="s">
        <v>18</v>
      </c>
      <c r="M4" s="7" t="s">
        <v>18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0">
      <c r="A5" s="7">
        <v>3</v>
      </c>
      <c r="B5" s="7" t="s">
        <v>25</v>
      </c>
      <c r="C5" s="7">
        <v>2</v>
      </c>
      <c r="D5" s="7" t="s">
        <v>26</v>
      </c>
      <c r="E5" s="8" t="s">
        <v>27</v>
      </c>
      <c r="F5" s="7" t="s">
        <v>26</v>
      </c>
      <c r="G5" s="7" t="s">
        <v>28</v>
      </c>
      <c r="H5" s="9">
        <v>0.17199999999999999</v>
      </c>
      <c r="I5" s="9">
        <f t="shared" si="0"/>
        <v>1.7199999999999998</v>
      </c>
      <c r="J5" s="7" t="s">
        <v>18</v>
      </c>
      <c r="K5" s="10" t="s">
        <v>29</v>
      </c>
      <c r="L5" s="7" t="s">
        <v>18</v>
      </c>
      <c r="M5" s="7" t="s">
        <v>18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 spans="1:50">
      <c r="A6" s="7">
        <v>4</v>
      </c>
      <c r="B6" s="7" t="s">
        <v>30</v>
      </c>
      <c r="C6" s="7">
        <v>4</v>
      </c>
      <c r="D6" s="7" t="s">
        <v>31</v>
      </c>
      <c r="E6" s="8" t="s">
        <v>32</v>
      </c>
      <c r="F6" s="7" t="s">
        <v>31</v>
      </c>
      <c r="G6" s="7" t="s">
        <v>23</v>
      </c>
      <c r="H6" s="9">
        <v>0.78800000000000003</v>
      </c>
      <c r="I6" s="9">
        <f t="shared" si="0"/>
        <v>15.760000000000002</v>
      </c>
      <c r="J6" s="7" t="s">
        <v>18</v>
      </c>
      <c r="K6" s="10" t="s">
        <v>33</v>
      </c>
      <c r="L6" s="7" t="s">
        <v>18</v>
      </c>
      <c r="M6" s="7" t="s">
        <v>18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>
      <c r="A7" s="7">
        <v>5</v>
      </c>
      <c r="B7" s="7" t="s">
        <v>34</v>
      </c>
      <c r="C7" s="7">
        <v>4</v>
      </c>
      <c r="D7" s="7" t="s">
        <v>35</v>
      </c>
      <c r="E7" s="8" t="s">
        <v>36</v>
      </c>
      <c r="F7" s="7" t="s">
        <v>35</v>
      </c>
      <c r="G7" s="7" t="s">
        <v>37</v>
      </c>
      <c r="H7" s="9">
        <v>4.8000000000000001E-2</v>
      </c>
      <c r="I7" s="9">
        <f t="shared" si="0"/>
        <v>0.96</v>
      </c>
      <c r="J7" s="7" t="s">
        <v>18</v>
      </c>
      <c r="K7" s="10" t="s">
        <v>36</v>
      </c>
      <c r="L7" s="7" t="s">
        <v>18</v>
      </c>
      <c r="M7" s="7" t="s">
        <v>18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50">
      <c r="A8" s="7">
        <v>6</v>
      </c>
      <c r="B8" s="7" t="s">
        <v>38</v>
      </c>
      <c r="C8" s="7">
        <v>3</v>
      </c>
      <c r="D8" s="7" t="s">
        <v>39</v>
      </c>
      <c r="E8" s="8" t="s">
        <v>40</v>
      </c>
      <c r="F8" s="7" t="s">
        <v>39</v>
      </c>
      <c r="G8" s="7" t="s">
        <v>41</v>
      </c>
      <c r="H8" s="9">
        <v>0.114</v>
      </c>
      <c r="I8" s="9">
        <f t="shared" si="0"/>
        <v>1.7100000000000002</v>
      </c>
      <c r="J8" s="7" t="s">
        <v>18</v>
      </c>
      <c r="K8" s="10" t="s">
        <v>42</v>
      </c>
      <c r="L8" s="7" t="s">
        <v>18</v>
      </c>
      <c r="M8" s="7" t="s">
        <v>18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 spans="1:50">
      <c r="A9" s="7">
        <v>7</v>
      </c>
      <c r="B9" s="7" t="s">
        <v>43</v>
      </c>
      <c r="C9" s="7">
        <v>1</v>
      </c>
      <c r="D9" s="7" t="s">
        <v>44</v>
      </c>
      <c r="E9" s="8" t="s">
        <v>45</v>
      </c>
      <c r="F9" s="7" t="s">
        <v>44</v>
      </c>
      <c r="G9" s="15" t="s">
        <v>72</v>
      </c>
      <c r="H9" s="9">
        <v>0.96299999999999997</v>
      </c>
      <c r="I9" s="9">
        <f t="shared" si="0"/>
        <v>4.8149999999999995</v>
      </c>
      <c r="J9" s="7" t="s">
        <v>46</v>
      </c>
      <c r="K9" s="10" t="s">
        <v>47</v>
      </c>
      <c r="L9" s="7" t="s">
        <v>18</v>
      </c>
      <c r="M9" s="7" t="s">
        <v>18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>
      <c r="A10" s="7">
        <v>8</v>
      </c>
      <c r="B10" s="7" t="s">
        <v>48</v>
      </c>
      <c r="C10" s="7">
        <v>1</v>
      </c>
      <c r="D10" s="7" t="s">
        <v>49</v>
      </c>
      <c r="E10" s="8" t="s">
        <v>50</v>
      </c>
      <c r="F10" s="7" t="s">
        <v>49</v>
      </c>
      <c r="G10" s="15" t="s">
        <v>71</v>
      </c>
      <c r="H10" s="9">
        <v>0.64500000000000002</v>
      </c>
      <c r="I10" s="9">
        <f t="shared" si="0"/>
        <v>3.2250000000000001</v>
      </c>
      <c r="J10" s="7" t="s">
        <v>18</v>
      </c>
      <c r="K10" s="10" t="s">
        <v>51</v>
      </c>
      <c r="L10" s="7" t="s">
        <v>18</v>
      </c>
      <c r="M10" s="7" t="s">
        <v>18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 spans="1:50">
      <c r="A11" s="7">
        <v>9</v>
      </c>
      <c r="B11" s="7" t="s">
        <v>52</v>
      </c>
      <c r="C11" s="7">
        <v>1</v>
      </c>
      <c r="D11" s="7" t="s">
        <v>53</v>
      </c>
      <c r="E11" s="8" t="s">
        <v>54</v>
      </c>
      <c r="F11" s="7" t="s">
        <v>53</v>
      </c>
      <c r="G11" s="7" t="s">
        <v>55</v>
      </c>
      <c r="H11" s="9">
        <v>0.23499999999999999</v>
      </c>
      <c r="I11" s="9">
        <f t="shared" si="0"/>
        <v>1.1749999999999998</v>
      </c>
      <c r="J11" s="7" t="s">
        <v>18</v>
      </c>
      <c r="K11" s="10" t="s">
        <v>56</v>
      </c>
      <c r="L11" s="7" t="s">
        <v>18</v>
      </c>
      <c r="M11" s="7" t="s">
        <v>18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pans="1:50">
      <c r="A12" s="7">
        <v>10</v>
      </c>
      <c r="B12" s="7" t="s">
        <v>57</v>
      </c>
      <c r="C12" s="7">
        <v>1</v>
      </c>
      <c r="D12" s="7" t="s">
        <v>58</v>
      </c>
      <c r="E12" s="8" t="s">
        <v>59</v>
      </c>
      <c r="F12" s="7" t="s">
        <v>58</v>
      </c>
      <c r="G12" s="7" t="s">
        <v>60</v>
      </c>
      <c r="H12" s="9">
        <v>0.70199999999999996</v>
      </c>
      <c r="I12" s="9">
        <f t="shared" si="0"/>
        <v>3.51</v>
      </c>
      <c r="J12" s="7" t="s">
        <v>18</v>
      </c>
      <c r="K12" s="10" t="s">
        <v>61</v>
      </c>
      <c r="L12" s="7" t="s">
        <v>18</v>
      </c>
      <c r="M12" s="7" t="s">
        <v>18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 spans="1:50">
      <c r="A13" s="7">
        <v>11</v>
      </c>
      <c r="B13" s="7" t="s">
        <v>62</v>
      </c>
      <c r="C13" s="7">
        <v>1</v>
      </c>
      <c r="D13" s="7" t="s">
        <v>63</v>
      </c>
      <c r="E13" s="8" t="s">
        <v>64</v>
      </c>
      <c r="F13" s="7" t="s">
        <v>63</v>
      </c>
      <c r="G13" s="7" t="s">
        <v>60</v>
      </c>
      <c r="H13" s="9">
        <v>2.319</v>
      </c>
      <c r="I13" s="9">
        <f t="shared" si="0"/>
        <v>11.594999999999999</v>
      </c>
      <c r="J13" s="7" t="s">
        <v>46</v>
      </c>
      <c r="K13" s="10" t="s">
        <v>65</v>
      </c>
      <c r="L13" s="7" t="s">
        <v>18</v>
      </c>
      <c r="M13" s="7" t="s">
        <v>18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50">
      <c r="A14" s="6"/>
      <c r="B14" s="6"/>
      <c r="C14" s="6"/>
      <c r="D14" s="6"/>
      <c r="E14" s="6"/>
      <c r="F14" s="6"/>
      <c r="G14" s="6"/>
      <c r="H14" s="7" t="s">
        <v>66</v>
      </c>
      <c r="I14" s="11">
        <f>SUM(I3:I13)</f>
        <v>56.834999999999994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</row>
    <row r="15" spans="1:50">
      <c r="A15" s="6"/>
      <c r="B15" s="6"/>
      <c r="C15" s="6"/>
      <c r="D15" s="6"/>
      <c r="E15" s="6"/>
      <c r="F15" s="6"/>
      <c r="G15" s="6"/>
      <c r="H15" s="7" t="s">
        <v>67</v>
      </c>
      <c r="I15" s="12">
        <v>29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 spans="1:50">
      <c r="A16" s="6"/>
      <c r="B16" s="6"/>
      <c r="C16" s="6"/>
      <c r="D16" s="6"/>
      <c r="E16" s="6"/>
      <c r="F16" s="6"/>
      <c r="G16" s="6"/>
      <c r="H16" s="7" t="s">
        <v>68</v>
      </c>
      <c r="I16" s="12">
        <v>6.5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 spans="1:50">
      <c r="A17" s="6"/>
      <c r="B17" s="6"/>
      <c r="C17" s="6"/>
      <c r="D17" s="6"/>
      <c r="E17" s="6"/>
      <c r="F17" s="6"/>
      <c r="G17" s="6"/>
      <c r="H17" s="7" t="s">
        <v>69</v>
      </c>
      <c r="I17" s="11">
        <f>0*SUM(I15:I16)</f>
        <v>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spans="1:50">
      <c r="A18" s="6"/>
      <c r="B18" s="6"/>
      <c r="C18" s="6"/>
      <c r="D18" s="6"/>
      <c r="E18" s="6"/>
      <c r="F18" s="6"/>
      <c r="G18" s="6"/>
      <c r="H18" s="7" t="s">
        <v>70</v>
      </c>
      <c r="I18" s="11">
        <f>SUM(I14:I17)</f>
        <v>92.334999999999994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spans="1:50">
      <c r="A19" s="6" t="s">
        <v>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spans="1:5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spans="1:50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spans="1:50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spans="1:50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spans="1:50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spans="1:50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spans="1:50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1:50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1:50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1:50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1:50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1:50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1:50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1:50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1:5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1:50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1:50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1:50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1:50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1:50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1:50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1:50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1:50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1:50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1: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1:50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1:50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1:50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1:50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1:5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1:50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1:50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1:50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1:50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1:50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1:50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1:50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1:50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1:50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1:5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1:50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1:50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1:50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1:50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1:50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1:50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1:50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1:50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1:50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1:5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1:50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1:50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1:50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1:50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1:5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1:50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1:5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1:50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1:50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1:5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1:50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1:50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1:50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1:50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1:50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1:50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1:50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1:50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1:50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1:5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1:50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1:50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1:50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1:50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1:50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1:50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1:50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1:50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1:50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1:5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1:50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1:50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spans="1:50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spans="1:50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spans="1:50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spans="1:5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spans="1:50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spans="1:50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spans="1:50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spans="1:50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spans="1:50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spans="1:50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spans="1:50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spans="1:5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spans="1:50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spans="1:50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spans="1:50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spans="1:50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spans="1:50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spans="1:50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spans="1:50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spans="1:50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spans="1:50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spans="1: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spans="1:50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spans="1:50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spans="1:50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spans="1:50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spans="1:50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spans="1:50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spans="1:50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spans="1:50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spans="1:50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spans="1:5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spans="1:50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spans="1:50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spans="1:50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spans="1:50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spans="1:50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spans="1:50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spans="1:50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spans="1:50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spans="1:50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spans="1:5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spans="1:50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spans="1:50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spans="1:50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spans="1:50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spans="1:50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spans="1:50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spans="1:50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spans="1:50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spans="1:50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spans="1:5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spans="1:50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spans="1:50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spans="1:50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spans="1:50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spans="1:50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spans="1:50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spans="1:50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spans="1:50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spans="1:50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spans="1:5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spans="1:50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spans="1:50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spans="1:50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spans="1:50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spans="1:50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spans="1:50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spans="1:50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spans="1:50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spans="1:50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spans="1:5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spans="1:50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spans="1:50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spans="1:50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spans="1:50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spans="1:50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spans="1:50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spans="1:50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spans="1:50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spans="1:50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spans="1:5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spans="1:50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spans="1:50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spans="1:50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spans="1:50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spans="1:50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spans="1:50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spans="1:50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spans="1:50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spans="1:50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spans="1:5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spans="1:50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spans="1:50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spans="1:50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spans="1:50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spans="1:50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spans="1:50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spans="1:50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spans="1:50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spans="1:50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spans="1:5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spans="1:50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spans="1:50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spans="1:50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spans="1:50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spans="1:50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spans="1:50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spans="1:50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spans="1:50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spans="1:50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spans="1:5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spans="1:50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spans="1:50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spans="1:50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spans="1:50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spans="1:50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spans="1:50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spans="1:50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spans="1:50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spans="1:50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spans="1: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spans="1:50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spans="1:50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spans="1:50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spans="1:50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spans="1:50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spans="1:50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spans="1:50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spans="1:50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spans="1:50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spans="1:5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spans="1:50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spans="1:50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spans="1:50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spans="1:50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spans="1:50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spans="1:50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spans="1:50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spans="1:50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spans="1:50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spans="1:5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spans="1:50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spans="1:50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spans="1:50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spans="1:50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spans="1:50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spans="1:50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spans="1:50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spans="1:50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spans="1:50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spans="1:5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spans="1:50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spans="1:50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spans="1:50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spans="1:50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spans="1:50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spans="1:50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spans="1:50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spans="1:50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spans="1:50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spans="1:5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spans="1:50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spans="1:50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spans="1:50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spans="1:50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spans="1:50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spans="1:50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spans="1:50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spans="1:50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spans="1:50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spans="1:5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spans="1:50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spans="1:50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spans="1:50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spans="1:50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spans="1:50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spans="1:50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spans="1:50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spans="1:50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spans="1:50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spans="1:5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spans="1:50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spans="1:50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spans="1:50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spans="1:50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spans="1:50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spans="1:50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spans="1:50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spans="1:50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spans="1:50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spans="1:5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spans="1:50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spans="1:50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spans="1:50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spans="1:50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spans="1:50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spans="1:50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spans="1:50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spans="1:50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spans="1:50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spans="1:5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spans="1:50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spans="1:50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spans="1:50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spans="1:50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spans="1:50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spans="1:50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spans="1:50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spans="1:50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spans="1:50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spans="1:5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spans="1:50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spans="1:50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spans="1:50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spans="1:50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spans="1:50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spans="1:50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spans="1:50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spans="1:50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spans="1:50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spans="1: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spans="1:50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spans="1:50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spans="1:50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spans="1:50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spans="1:50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spans="1:50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spans="1:50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spans="1:50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spans="1:50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spans="1:5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spans="1:50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spans="1:50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spans="1:50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spans="1:50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spans="1:50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spans="1:50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spans="1:50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spans="1:50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spans="1:50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spans="1:5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spans="1:50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spans="1:50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spans="1:50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spans="1:50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spans="1:50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spans="1:50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spans="1:50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spans="1:50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spans="1:50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spans="1:5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spans="1:50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spans="1:50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spans="1:50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spans="1:50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spans="1:50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spans="1:50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spans="1:50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spans="1:50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spans="1:50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spans="1:5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spans="1:50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spans="1:50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spans="1:50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spans="1:50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spans="1:50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spans="1:50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spans="1:50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spans="1:50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spans="1:50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spans="1:5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spans="1:50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spans="1:50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spans="1:50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spans="1:50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spans="1:50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spans="1:50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spans="1:50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spans="1:50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spans="1:50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spans="1:5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spans="1:50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spans="1:50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spans="1:50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spans="1:50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spans="1:50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spans="1:50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spans="1:50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spans="1:50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spans="1:50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spans="1:5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spans="1:50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spans="1:50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spans="1:50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spans="1:50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spans="1:50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spans="1:50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spans="1:50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spans="1:50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spans="1:50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spans="1:5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spans="1:50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spans="1:50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spans="1:50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spans="1:50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spans="1:50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spans="1:50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spans="1:50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spans="1:50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spans="1:50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spans="1:5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spans="1:50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spans="1:50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spans="1:50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spans="1:50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spans="1:50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spans="1:50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spans="1:50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spans="1:50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spans="1:50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spans="1: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spans="1:50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spans="1:50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spans="1:50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spans="1:50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spans="1:50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spans="1:50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spans="1:50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spans="1:50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spans="1:50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spans="1:5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spans="1:50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spans="1:50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spans="1:50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spans="1:50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spans="1:50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spans="1:50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spans="1:50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spans="1:50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spans="1:50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spans="1:5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spans="1:50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spans="1:50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spans="1:50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spans="1:50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spans="1:50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spans="1:50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spans="1:50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spans="1:50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spans="1:50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spans="1:5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spans="1:50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spans="1:50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spans="1:50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spans="1:50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spans="1:50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spans="1:50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spans="1:50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spans="1:50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spans="1:50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spans="1:5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spans="1:50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spans="1:50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spans="1:50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 spans="1:50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 spans="1:50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 spans="1:50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 spans="1:50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 spans="1:50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 spans="1:50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 spans="1:5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 spans="1:50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 spans="1:50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 spans="1:50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 spans="1:50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 spans="1:50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 spans="1:50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 spans="1:50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 spans="1:50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 spans="1:50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 spans="1:5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 spans="1:50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 spans="1:50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 spans="1:50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 spans="1:50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 spans="1:50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 spans="1:50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 spans="1:50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 spans="1:50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 spans="1:50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 spans="1:5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 spans="1:50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 spans="1:50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 spans="1:50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 spans="1:50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 spans="1:50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 spans="1:50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 spans="1:50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 spans="1:50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 spans="1:50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 spans="1:5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 spans="1:50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 spans="1:50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 spans="1:50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 spans="1:50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 spans="1:50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 spans="1:50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 spans="1:50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 spans="1:50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 spans="1:50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 spans="1:5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 spans="1:50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 spans="1:50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 spans="1:50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 spans="1:50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 spans="1:50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 spans="1:50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 spans="1:50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 spans="1:50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 spans="1:50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 spans="1: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 spans="1:50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 spans="1:50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 spans="1:50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 spans="1:50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 spans="1:50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 spans="1:50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 spans="1:50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 spans="1:50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 spans="1:50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 spans="1:5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</sheetData>
  <mergeCells count="1">
    <mergeCell ref="A1:M1"/>
  </mergeCells>
  <pageMargins left="0.75" right="0.75" top="1" bottom="1" header="0.51180555555555551" footer="0.51180555555555551"/>
  <pageSetup paperSize="9" orientation="portrait" horizontalDpi="203" verticalDpi="203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Beard, Teremun</cp:lastModifiedBy>
  <dcterms:created xsi:type="dcterms:W3CDTF">2020-08-21T01:41:33Z</dcterms:created>
  <dcterms:modified xsi:type="dcterms:W3CDTF">2026-08-07T21:26:32Z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Generator">
    <vt:lpwstr>NPOI</vt:lpwstr>
  </property>
  <property fmtid="{D5CDD505-2E9C-101B-9397-08002B2CF9AE}" pid="4" name="Generator Version">
    <vt:lpwstr>2.3.0</vt:lpwstr>
  </property>
  <property fmtid="{D5CDD505-2E9C-101B-9397-08002B2CF9AE}" pid="5" name="ICV">
    <vt:lpwstr>2226FAEDB8D94FB1AA3C1971812D2D43_13</vt:lpwstr>
  </property>
  <property fmtid="{D5CDD505-2E9C-101B-9397-08002B2CF9AE}" pid="6" name="CalculationRule">
    <vt:r8>0</vt:r8>
  </property>
</Properties>
</file>